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dria\Desktop\Facultate\An 2\PCAD\"/>
    </mc:Choice>
  </mc:AlternateContent>
  <xr:revisionPtr revIDLastSave="0" documentId="13_ncr:1_{E79C930D-D2DE-41A2-9E44-41CCE8293860}" xr6:coauthVersionLast="47" xr6:coauthVersionMax="47" xr10:uidLastSave="{00000000-0000-0000-0000-000000000000}"/>
  <bookViews>
    <workbookView xWindow="-108" yWindow="-108" windowWidth="23256" windowHeight="12456" xr2:uid="{956F3B05-C5FE-45E7-B2C2-B256690FA041}"/>
  </bookViews>
  <sheets>
    <sheet name="BOM PIESE" sheetId="1" r:id="rId1"/>
    <sheet name="LINK PIESE BO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</calcChain>
</file>

<file path=xl/sharedStrings.xml><?xml version="1.0" encoding="utf-8"?>
<sst xmlns="http://schemas.openxmlformats.org/spreadsheetml/2006/main" count="117" uniqueCount="93">
  <si>
    <t>Item #</t>
  </si>
  <si>
    <t>Reference Designator, RefDes</t>
  </si>
  <si>
    <t>Manufacturer part name/ code/number or Value</t>
  </si>
  <si>
    <t>Type/class</t>
  </si>
  <si>
    <t>Description</t>
  </si>
  <si>
    <t>Part code (from catalogue or RO supplier webpage</t>
  </si>
  <si>
    <t>Manufacturer</t>
  </si>
  <si>
    <t>Quantity in the project</t>
  </si>
  <si>
    <t>Min. quantity (supplier)</t>
  </si>
  <si>
    <t>Price / part (Lei)</t>
  </si>
  <si>
    <t>Total price (Lei)</t>
  </si>
  <si>
    <t>Nr. crt.</t>
  </si>
  <si>
    <t>Referinţă
comp. în SCM, 
nume PCB</t>
  </si>
  <si>
    <t>Nume /cod/
Număr/valoare comp. în SCM</t>
  </si>
  <si>
    <t>Tip / Clasă</t>
  </si>
  <si>
    <t>Descriere</t>
  </si>
  <si>
    <t>Cod comp. (din catalog sau din pag. WEB a distrib. din RO)</t>
  </si>
  <si>
    <t>Producător</t>
  </si>
  <si>
    <t>Cantitate în proiect</t>
  </si>
  <si>
    <t>Preț / comp.
(Lei)</t>
  </si>
  <si>
    <t>Preț total (Lei)</t>
  </si>
  <si>
    <t>Button Cell</t>
  </si>
  <si>
    <t>3V</t>
  </si>
  <si>
    <t>Baterie Litiu</t>
  </si>
  <si>
    <t>CR-2032/GVFN</t>
  </si>
  <si>
    <t>PANASONIC</t>
  </si>
  <si>
    <t>PIEZO-SENSOR</t>
  </si>
  <si>
    <t>PIEZO TD_2</t>
  </si>
  <si>
    <t>LOUDITY</t>
  </si>
  <si>
    <t>IC1</t>
  </si>
  <si>
    <t>M74HC123</t>
  </si>
  <si>
    <t>IC</t>
  </si>
  <si>
    <t>J1</t>
  </si>
  <si>
    <t>CON2</t>
  </si>
  <si>
    <t>CONECTOR</t>
  </si>
  <si>
    <t>DEGSON ELECTRONICS</t>
  </si>
  <si>
    <t>T1</t>
  </si>
  <si>
    <t>BC547</t>
  </si>
  <si>
    <t>T</t>
  </si>
  <si>
    <t>C1</t>
  </si>
  <si>
    <t>100nF</t>
  </si>
  <si>
    <t>C</t>
  </si>
  <si>
    <t>KENF100-100</t>
  </si>
  <si>
    <t>SR Passives</t>
  </si>
  <si>
    <t>C2</t>
  </si>
  <si>
    <t>MCRH16V476M5X11</t>
  </si>
  <si>
    <t>MULTICOMP</t>
  </si>
  <si>
    <t>R1, R2</t>
  </si>
  <si>
    <t>4M7</t>
  </si>
  <si>
    <t>R</t>
  </si>
  <si>
    <t>1/4W-4M7-5%</t>
  </si>
  <si>
    <t>ROYAL OHM</t>
  </si>
  <si>
    <t>R3</t>
  </si>
  <si>
    <t>100k</t>
  </si>
  <si>
    <t>M0.6W-100K</t>
  </si>
  <si>
    <t>R4</t>
  </si>
  <si>
    <t>10k</t>
  </si>
  <si>
    <t>Senzor piezoelectric</t>
  </si>
  <si>
    <t>Link site</t>
  </si>
  <si>
    <t>47μF/16V</t>
  </si>
  <si>
    <t>https://www.adelaida.ro/baterie-3v-20x3.2mm-3-pin-cr-2032-gvfn-panasonic.html</t>
  </si>
  <si>
    <t>https://www.adelaida.ro/traductor-piezo-30v-ld-bzpn-2030.html</t>
  </si>
  <si>
    <t>https://www.adelaida.ro/100nf-100v-condensator-ceramic-rm5.html</t>
  </si>
  <si>
    <t>https://www.adelaida.ro/47uf-16v-condensator-electrolitic-85c-rm2.5-samhwa.html</t>
  </si>
  <si>
    <t>https://www.adelaida.ro/rezistenta-4m7-1-4w-5-1-4w-4m7-5.html</t>
  </si>
  <si>
    <t>https://www.adelaida.ro/rezistenta-100k-1-2w-1-1-2w-100k-1.html</t>
  </si>
  <si>
    <t>https://www.adelaida.ro/rezistente-putere-1w-10k.html</t>
  </si>
  <si>
    <t>LD-BZPN-2030</t>
  </si>
  <si>
    <t>Baterie 3V, 20x3.2mm, 3 pin</t>
  </si>
  <si>
    <t>Traductor sunet piezo, 30V, 20mm</t>
  </si>
  <si>
    <t>CD74HC123E</t>
  </si>
  <si>
    <t>TEXAS INSTRUMENTS</t>
  </si>
  <si>
    <t>100nF/100V, condensator ceramic, RM5</t>
  </si>
  <si>
    <t>47uF/16V, condensator electrolitic, 5x11mm, 105C, RM2.5</t>
  </si>
  <si>
    <t>Rezistenta 4M7, 1/4W, 5%</t>
  </si>
  <si>
    <t>Rezistenta 100K, 1/2W, 1%</t>
  </si>
  <si>
    <t>Rezistenta 10K, 1W, 5%, 350V</t>
  </si>
  <si>
    <t>MBB02070C1002FRP00</t>
  </si>
  <si>
    <t>VISHAY</t>
  </si>
  <si>
    <t>Cantitate minimă la distribuitor</t>
  </si>
  <si>
    <t>Regletă de conexiuni pt.PCB; în unghi 90°; 2,54mm; piste: 2; 1mm2</t>
  </si>
  <si>
    <t>DG308-2.54-02P-14-00AH</t>
  </si>
  <si>
    <t>https://www.tme.eu/ro/details/dg308-2.54-02p/reglete-de-conexiuni-pentru-pcb/degson-electronics/dg308-2-54-02p-14-00ah/</t>
  </si>
  <si>
    <t>Distribuitor</t>
  </si>
  <si>
    <t>TME</t>
  </si>
  <si>
    <t>ADELAIDA</t>
  </si>
  <si>
    <t>DIOTEC SEMICONDUCTOR</t>
  </si>
  <si>
    <t xml:space="preserve">https://www.adelaida.ro/cd74hc123e-digital-monostabil-2-6vdc-cmos-dip16-texas-instruments.html  </t>
  </si>
  <si>
    <t>Bipolar (BJT) Single Transistor, NPN, 45 V, 100 mA, 500 mW, TO-92, Through Hole</t>
  </si>
  <si>
    <t>CD74HC123E, digital, monostabil, 2-6VDC, CMOS, DIP16</t>
  </si>
  <si>
    <t>BC547B</t>
  </si>
  <si>
    <t>FARNELL</t>
  </si>
  <si>
    <t>https://ro.farnell.com/diotec/bc547b/transistor-npn-45v-0-1a-to-92/dp/4555435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</si>
</sst>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D2D2D"/>
      <name val="Times New Roman"/>
      <family val="1"/>
    </font>
    <font>
      <sz val="11"/>
      <color rgb="FF2E353B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u/>
      <sz val="11"/>
      <color theme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elaida.ro/traductor-piezo-30v-ld-bzpn-2030.html" TargetMode="External"/><Relationship Id="rId3" Type="http://schemas.openxmlformats.org/officeDocument/2006/relationships/hyperlink" Target="https://www.adelaida.ro/rezistenta-4m7-1-4w-5-1-4w-4m7-5.html" TargetMode="External"/><Relationship Id="rId7" Type="http://schemas.openxmlformats.org/officeDocument/2006/relationships/hyperlink" Target="https://www.tme.eu/ro/details/dg308-2.54-02p/reglete-de-conexiuni-pentru-pcb/degson-electronics/dg308-2-54-02p-14-00ah/" TargetMode="External"/><Relationship Id="rId2" Type="http://schemas.openxmlformats.org/officeDocument/2006/relationships/hyperlink" Target="https://www.adelaida.ro/rezistenta-100k-1-2w-1-1-2w-100k-1.html" TargetMode="External"/><Relationship Id="rId1" Type="http://schemas.openxmlformats.org/officeDocument/2006/relationships/hyperlink" Target="https://www.adelaida.ro/rezistente-putere-1w-10k.html" TargetMode="External"/><Relationship Id="rId6" Type="http://schemas.openxmlformats.org/officeDocument/2006/relationships/hyperlink" Target="https://ro.farnell.com/diotec/bc547b/transistor-npn-45v-0-1a-to-92/dp/4555435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www.adelaida.ro/100nf-100v-condensator-ceramic-rm5.html" TargetMode="External"/><Relationship Id="rId10" Type="http://schemas.openxmlformats.org/officeDocument/2006/relationships/hyperlink" Target="https://www.adelaida.ro/cd74hc123e-digital-monostabil-2-6vdc-cmos-dip16-texas-instruments.html" TargetMode="External"/><Relationship Id="rId4" Type="http://schemas.openxmlformats.org/officeDocument/2006/relationships/hyperlink" Target="https://www.adelaida.ro/47uf-16v-condensator-electrolitic-85c-rm2.5-samhwa.html" TargetMode="External"/><Relationship Id="rId9" Type="http://schemas.openxmlformats.org/officeDocument/2006/relationships/hyperlink" Target="https://www.adelaida.ro/baterie-3v-20x3.2mm-3-pin-cr-2032-gvfn-panason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B265-9A2E-4D54-83BF-CB42650DD8E1}">
  <sheetPr>
    <pageSetUpPr fitToPage="1"/>
  </sheetPr>
  <dimension ref="A1:K27"/>
  <sheetViews>
    <sheetView tabSelected="1" zoomScale="85" zoomScaleNormal="85" workbookViewId="0">
      <selection activeCell="L13" sqref="L13"/>
    </sheetView>
  </sheetViews>
  <sheetFormatPr defaultRowHeight="13.8" x14ac:dyDescent="0.25"/>
  <cols>
    <col min="1" max="1" width="4.77734375" style="3" customWidth="1"/>
    <col min="2" max="2" width="15.44140625" style="3" customWidth="1"/>
    <col min="3" max="3" width="14.33203125" style="3" customWidth="1"/>
    <col min="4" max="4" width="12.6640625" style="3" customWidth="1"/>
    <col min="5" max="5" width="36.6640625" style="3" customWidth="1"/>
    <col min="6" max="6" width="31.5546875" style="3" customWidth="1"/>
    <col min="7" max="7" width="21.77734375" style="3" customWidth="1"/>
    <col min="8" max="8" width="10.6640625" style="3" customWidth="1"/>
    <col min="9" max="9" width="10.77734375" style="3" customWidth="1"/>
    <col min="10" max="10" width="10.6640625" style="3" customWidth="1"/>
    <col min="11" max="11" width="10.88671875" style="3" customWidth="1"/>
    <col min="12" max="12" width="10.6640625" style="3" customWidth="1"/>
    <col min="13" max="16384" width="8.88671875" style="3"/>
  </cols>
  <sheetData>
    <row r="1" spans="1:11" ht="55.2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ht="41.4" x14ac:dyDescent="0.25">
      <c r="A2" s="12" t="s">
        <v>11</v>
      </c>
      <c r="B2" s="12" t="s">
        <v>12</v>
      </c>
      <c r="C2" s="12" t="s">
        <v>13</v>
      </c>
      <c r="D2" s="12" t="s">
        <v>14</v>
      </c>
      <c r="E2" s="12" t="s">
        <v>15</v>
      </c>
      <c r="F2" s="12" t="s">
        <v>16</v>
      </c>
      <c r="G2" s="12" t="s">
        <v>17</v>
      </c>
      <c r="H2" s="12" t="s">
        <v>18</v>
      </c>
      <c r="I2" s="12" t="s">
        <v>79</v>
      </c>
      <c r="J2" s="12" t="s">
        <v>19</v>
      </c>
      <c r="K2" s="12" t="s">
        <v>20</v>
      </c>
    </row>
    <row r="3" spans="1:11" ht="27" customHeight="1" x14ac:dyDescent="0.25">
      <c r="A3" s="2">
        <v>1</v>
      </c>
      <c r="B3" s="2" t="s">
        <v>21</v>
      </c>
      <c r="C3" s="2" t="s">
        <v>22</v>
      </c>
      <c r="D3" s="2" t="s">
        <v>23</v>
      </c>
      <c r="E3" s="2" t="s">
        <v>68</v>
      </c>
      <c r="F3" s="4" t="s">
        <v>24</v>
      </c>
      <c r="G3" s="2" t="s">
        <v>25</v>
      </c>
      <c r="H3" s="2">
        <v>1</v>
      </c>
      <c r="I3" s="2">
        <v>1</v>
      </c>
      <c r="J3" s="2">
        <v>11.59</v>
      </c>
      <c r="K3" s="2">
        <v>11.59</v>
      </c>
    </row>
    <row r="4" spans="1:11" ht="27" customHeight="1" x14ac:dyDescent="0.25">
      <c r="A4" s="13">
        <v>2</v>
      </c>
      <c r="B4" s="13" t="s">
        <v>26</v>
      </c>
      <c r="C4" s="13" t="s">
        <v>27</v>
      </c>
      <c r="D4" s="13" t="s">
        <v>57</v>
      </c>
      <c r="E4" s="14" t="s">
        <v>69</v>
      </c>
      <c r="F4" s="13" t="s">
        <v>67</v>
      </c>
      <c r="G4" s="13" t="s">
        <v>28</v>
      </c>
      <c r="H4" s="13">
        <v>1</v>
      </c>
      <c r="I4" s="13">
        <v>1</v>
      </c>
      <c r="J4" s="13">
        <v>5.72</v>
      </c>
      <c r="K4" s="13">
        <v>5.72</v>
      </c>
    </row>
    <row r="5" spans="1:11" ht="27" customHeight="1" x14ac:dyDescent="0.25">
      <c r="A5" s="2">
        <v>3</v>
      </c>
      <c r="B5" s="2" t="s">
        <v>29</v>
      </c>
      <c r="C5" s="2" t="s">
        <v>30</v>
      </c>
      <c r="D5" s="2" t="s">
        <v>31</v>
      </c>
      <c r="E5" s="2" t="s">
        <v>89</v>
      </c>
      <c r="F5" s="2" t="s">
        <v>70</v>
      </c>
      <c r="G5" s="2" t="s">
        <v>71</v>
      </c>
      <c r="H5" s="2">
        <v>1</v>
      </c>
      <c r="I5" s="2">
        <v>1</v>
      </c>
      <c r="J5" s="2">
        <v>5.58</v>
      </c>
      <c r="K5" s="2">
        <v>5.58</v>
      </c>
    </row>
    <row r="6" spans="1:11" ht="27" customHeight="1" x14ac:dyDescent="0.25">
      <c r="A6" s="13">
        <v>4</v>
      </c>
      <c r="B6" s="13" t="s">
        <v>32</v>
      </c>
      <c r="C6" s="13" t="s">
        <v>33</v>
      </c>
      <c r="D6" s="13" t="s">
        <v>34</v>
      </c>
      <c r="E6" s="13" t="s">
        <v>80</v>
      </c>
      <c r="F6" s="14" t="s">
        <v>81</v>
      </c>
      <c r="G6" s="13" t="s">
        <v>35</v>
      </c>
      <c r="H6" s="13">
        <v>1</v>
      </c>
      <c r="I6" s="13">
        <v>2</v>
      </c>
      <c r="J6" s="13">
        <v>2.82</v>
      </c>
      <c r="K6" s="13">
        <v>5.64</v>
      </c>
    </row>
    <row r="7" spans="1:11" ht="27" customHeight="1" x14ac:dyDescent="0.25">
      <c r="A7" s="2">
        <v>5</v>
      </c>
      <c r="B7" s="2" t="s">
        <v>36</v>
      </c>
      <c r="C7" s="2" t="s">
        <v>37</v>
      </c>
      <c r="D7" s="2" t="s">
        <v>38</v>
      </c>
      <c r="E7" s="2" t="s">
        <v>88</v>
      </c>
      <c r="F7" s="2" t="s">
        <v>90</v>
      </c>
      <c r="G7" s="2" t="s">
        <v>86</v>
      </c>
      <c r="H7" s="2">
        <v>1</v>
      </c>
      <c r="I7" s="2">
        <v>5</v>
      </c>
      <c r="J7" s="2">
        <v>0.16</v>
      </c>
      <c r="K7" s="2">
        <v>0.83</v>
      </c>
    </row>
    <row r="8" spans="1:11" ht="27" customHeight="1" x14ac:dyDescent="0.25">
      <c r="A8" s="13">
        <v>6</v>
      </c>
      <c r="B8" s="13" t="s">
        <v>39</v>
      </c>
      <c r="C8" s="13" t="s">
        <v>40</v>
      </c>
      <c r="D8" s="13" t="s">
        <v>41</v>
      </c>
      <c r="E8" s="15" t="s">
        <v>72</v>
      </c>
      <c r="F8" s="15" t="s">
        <v>42</v>
      </c>
      <c r="G8" s="15" t="s">
        <v>43</v>
      </c>
      <c r="H8" s="13">
        <v>1</v>
      </c>
      <c r="I8" s="13">
        <v>2</v>
      </c>
      <c r="J8" s="13">
        <v>1.18</v>
      </c>
      <c r="K8" s="13">
        <v>2.36</v>
      </c>
    </row>
    <row r="9" spans="1:11" ht="27" customHeight="1" x14ac:dyDescent="0.25">
      <c r="A9" s="2">
        <v>7</v>
      </c>
      <c r="B9" s="2" t="s">
        <v>44</v>
      </c>
      <c r="C9" s="2" t="s">
        <v>59</v>
      </c>
      <c r="D9" s="2" t="s">
        <v>41</v>
      </c>
      <c r="E9" s="4" t="s">
        <v>73</v>
      </c>
      <c r="F9" s="4" t="s">
        <v>45</v>
      </c>
      <c r="G9" s="2" t="s">
        <v>46</v>
      </c>
      <c r="H9" s="2">
        <v>1</v>
      </c>
      <c r="I9" s="2">
        <v>2</v>
      </c>
      <c r="J9" s="2">
        <v>1.1599999999999999</v>
      </c>
      <c r="K9" s="2">
        <v>2.3199999999999998</v>
      </c>
    </row>
    <row r="10" spans="1:11" ht="27" customHeight="1" x14ac:dyDescent="0.25">
      <c r="A10" s="13">
        <v>8</v>
      </c>
      <c r="B10" s="13" t="s">
        <v>47</v>
      </c>
      <c r="C10" s="13" t="s">
        <v>48</v>
      </c>
      <c r="D10" s="13" t="s">
        <v>49</v>
      </c>
      <c r="E10" s="15" t="s">
        <v>74</v>
      </c>
      <c r="F10" s="13" t="s">
        <v>50</v>
      </c>
      <c r="G10" s="13" t="s">
        <v>51</v>
      </c>
      <c r="H10" s="13">
        <v>2</v>
      </c>
      <c r="I10" s="13">
        <v>5</v>
      </c>
      <c r="J10" s="13">
        <v>0.37</v>
      </c>
      <c r="K10" s="13">
        <v>1.85</v>
      </c>
    </row>
    <row r="11" spans="1:11" ht="27" customHeight="1" x14ac:dyDescent="0.25">
      <c r="A11" s="2">
        <v>9</v>
      </c>
      <c r="B11" s="2" t="s">
        <v>52</v>
      </c>
      <c r="C11" s="2" t="s">
        <v>53</v>
      </c>
      <c r="D11" s="2" t="s">
        <v>49</v>
      </c>
      <c r="E11" s="5" t="s">
        <v>75</v>
      </c>
      <c r="F11" s="4" t="s">
        <v>54</v>
      </c>
      <c r="G11" s="2" t="s">
        <v>51</v>
      </c>
      <c r="H11" s="2">
        <v>1</v>
      </c>
      <c r="I11" s="2">
        <v>4</v>
      </c>
      <c r="J11" s="2">
        <v>0.26</v>
      </c>
      <c r="K11" s="2">
        <v>1.04</v>
      </c>
    </row>
    <row r="12" spans="1:11" ht="27" customHeight="1" x14ac:dyDescent="0.25">
      <c r="A12" s="13">
        <v>10</v>
      </c>
      <c r="B12" s="13" t="s">
        <v>55</v>
      </c>
      <c r="C12" s="13" t="s">
        <v>56</v>
      </c>
      <c r="D12" s="16" t="s">
        <v>49</v>
      </c>
      <c r="E12" s="17" t="s">
        <v>76</v>
      </c>
      <c r="F12" s="13" t="s">
        <v>77</v>
      </c>
      <c r="G12" s="13" t="s">
        <v>78</v>
      </c>
      <c r="H12" s="13">
        <v>1</v>
      </c>
      <c r="I12" s="13">
        <v>2</v>
      </c>
      <c r="J12" s="18">
        <v>1.23</v>
      </c>
      <c r="K12" s="18">
        <v>2.46</v>
      </c>
    </row>
    <row r="13" spans="1:11" ht="27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1" t="s">
        <v>20</v>
      </c>
      <c r="K13" s="2">
        <f>K3+K4+K5+K6+K7+K8+K9+K10+K11+K12</f>
        <v>39.39</v>
      </c>
    </row>
    <row r="16" spans="1:11" ht="16.2" customHeight="1" x14ac:dyDescent="0.25"/>
    <row r="17" spans="1:1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" customHeight="1" x14ac:dyDescent="0.25"/>
    <row r="19" spans="1:1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4.4" customHeight="1" x14ac:dyDescent="0.25"/>
    <row r="21" spans="1:1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5" customHeight="1" x14ac:dyDescent="0.25"/>
    <row r="23" spans="1:1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5" spans="1:1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14.4" customHeight="1" x14ac:dyDescent="0.25"/>
    <row r="27" spans="1:11" x14ac:dyDescent="0.25">
      <c r="J27" s="7"/>
      <c r="K27" s="7"/>
    </row>
  </sheetData>
  <pageMargins left="0.7" right="0.7" top="0.75" bottom="0.75" header="0.3" footer="0.3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399C-8C20-4665-ACAB-8B7936D365F7}">
  <sheetPr>
    <pageSetUpPr fitToPage="1"/>
  </sheetPr>
  <dimension ref="A1:D11"/>
  <sheetViews>
    <sheetView zoomScale="85" zoomScaleNormal="85" workbookViewId="0">
      <selection activeCell="C15" sqref="C15"/>
    </sheetView>
  </sheetViews>
  <sheetFormatPr defaultRowHeight="13.8" x14ac:dyDescent="0.25"/>
  <cols>
    <col min="1" max="1" width="9.5546875" style="3" customWidth="1"/>
    <col min="2" max="2" width="15.33203125" style="3" customWidth="1"/>
    <col min="3" max="3" width="62.6640625" style="3" customWidth="1"/>
    <col min="4" max="4" width="11.44140625" style="3" customWidth="1"/>
    <col min="5" max="16384" width="8.88671875" style="3"/>
  </cols>
  <sheetData>
    <row r="1" spans="1:4" ht="42" customHeight="1" x14ac:dyDescent="0.25">
      <c r="A1" s="11" t="s">
        <v>11</v>
      </c>
      <c r="B1" s="11" t="s">
        <v>12</v>
      </c>
      <c r="C1" s="11" t="s">
        <v>58</v>
      </c>
      <c r="D1" s="11" t="s">
        <v>83</v>
      </c>
    </row>
    <row r="2" spans="1:4" ht="27" customHeight="1" x14ac:dyDescent="0.25">
      <c r="A2" s="2">
        <v>1</v>
      </c>
      <c r="B2" s="2" t="s">
        <v>21</v>
      </c>
      <c r="C2" s="8" t="s">
        <v>60</v>
      </c>
      <c r="D2" s="10" t="s">
        <v>85</v>
      </c>
    </row>
    <row r="3" spans="1:4" ht="27" customHeight="1" x14ac:dyDescent="0.25">
      <c r="A3" s="13">
        <v>2</v>
      </c>
      <c r="B3" s="13" t="s">
        <v>26</v>
      </c>
      <c r="C3" s="19" t="s">
        <v>61</v>
      </c>
      <c r="D3" s="20" t="s">
        <v>85</v>
      </c>
    </row>
    <row r="4" spans="1:4" ht="27" customHeight="1" x14ac:dyDescent="0.25">
      <c r="A4" s="2">
        <v>3</v>
      </c>
      <c r="B4" s="2" t="s">
        <v>29</v>
      </c>
      <c r="C4" s="8" t="s">
        <v>87</v>
      </c>
      <c r="D4" s="10" t="s">
        <v>85</v>
      </c>
    </row>
    <row r="5" spans="1:4" ht="27" customHeight="1" x14ac:dyDescent="0.25">
      <c r="A5" s="13">
        <v>4</v>
      </c>
      <c r="B5" s="13" t="s">
        <v>32</v>
      </c>
      <c r="C5" s="19" t="s">
        <v>82</v>
      </c>
      <c r="D5" s="20" t="s">
        <v>84</v>
      </c>
    </row>
    <row r="6" spans="1:4" ht="27" customHeight="1" x14ac:dyDescent="0.25">
      <c r="A6" s="2">
        <v>5</v>
      </c>
      <c r="B6" s="2" t="s">
        <v>36</v>
      </c>
      <c r="C6" s="8" t="s">
        <v>92</v>
      </c>
      <c r="D6" s="10" t="s">
        <v>91</v>
      </c>
    </row>
    <row r="7" spans="1:4" ht="27" customHeight="1" x14ac:dyDescent="0.25">
      <c r="A7" s="13">
        <v>6</v>
      </c>
      <c r="B7" s="13" t="s">
        <v>39</v>
      </c>
      <c r="C7" s="19" t="s">
        <v>62</v>
      </c>
      <c r="D7" s="20" t="s">
        <v>85</v>
      </c>
    </row>
    <row r="8" spans="1:4" ht="27" customHeight="1" x14ac:dyDescent="0.25">
      <c r="A8" s="2">
        <v>7</v>
      </c>
      <c r="B8" s="2" t="s">
        <v>44</v>
      </c>
      <c r="C8" s="8" t="s">
        <v>63</v>
      </c>
      <c r="D8" s="10" t="s">
        <v>85</v>
      </c>
    </row>
    <row r="9" spans="1:4" ht="27" customHeight="1" x14ac:dyDescent="0.25">
      <c r="A9" s="13">
        <v>8</v>
      </c>
      <c r="B9" s="13" t="s">
        <v>47</v>
      </c>
      <c r="C9" s="19" t="s">
        <v>64</v>
      </c>
      <c r="D9" s="20" t="s">
        <v>85</v>
      </c>
    </row>
    <row r="10" spans="1:4" ht="27" customHeight="1" x14ac:dyDescent="0.25">
      <c r="A10" s="2">
        <v>9</v>
      </c>
      <c r="B10" s="2" t="s">
        <v>52</v>
      </c>
      <c r="C10" s="9" t="s">
        <v>65</v>
      </c>
      <c r="D10" s="10" t="s">
        <v>85</v>
      </c>
    </row>
    <row r="11" spans="1:4" ht="27" customHeight="1" x14ac:dyDescent="0.25">
      <c r="A11" s="13">
        <v>10</v>
      </c>
      <c r="B11" s="13" t="s">
        <v>55</v>
      </c>
      <c r="C11" s="19" t="s">
        <v>66</v>
      </c>
      <c r="D11" s="20" t="s">
        <v>85</v>
      </c>
    </row>
  </sheetData>
  <hyperlinks>
    <hyperlink ref="C11" r:id="rId1" xr:uid="{9D7085F5-57F4-4223-B6CA-05B5DAA9BF78}"/>
    <hyperlink ref="C10" r:id="rId2" xr:uid="{AA8D9AB0-EE27-4587-BBFC-214B08930F07}"/>
    <hyperlink ref="C9" r:id="rId3" xr:uid="{684786C2-A91A-42C5-BDFA-9269990D7689}"/>
    <hyperlink ref="C8" r:id="rId4" xr:uid="{9C64A8D1-3238-437D-AA84-FAF24126C85D}"/>
    <hyperlink ref="C7" r:id="rId5" xr:uid="{83D64CB4-C721-4AFE-BB40-B9923AC3E0C5}"/>
    <hyperlink ref="C6" r:id="rId6" xr:uid="{E9FDBB03-D9C0-4AAE-9F26-06F53C590017}"/>
    <hyperlink ref="C5" r:id="rId7" xr:uid="{042E7E4F-74DD-4167-9E47-0996E929C50F}"/>
    <hyperlink ref="C3" r:id="rId8" xr:uid="{BCE27CCD-2384-4AD1-B5F6-51CFA1208453}"/>
    <hyperlink ref="C2" r:id="rId9" xr:uid="{EE6CB462-C233-4FB9-B612-2A82EF1A7AC7}"/>
    <hyperlink ref="C4" r:id="rId10" display="https://www.adelaida.ro/cd74hc123e-digital-monostabil-2-6vdc-cmos-dip16-texas-instruments.html" xr:uid="{C64224C5-0842-416C-85AD-4B8237BF628F}"/>
  </hyperlinks>
  <pageMargins left="0.7" right="0.7" top="0.75" bottom="0.75" header="0.3" footer="0.3"/>
  <pageSetup paperSize="9" orientation="landscape"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D7CD89D570B24C97A1C407029819FB" ma:contentTypeVersion="5" ma:contentTypeDescription="Create a new document." ma:contentTypeScope="" ma:versionID="f1dc48454cca15816268444d2ef0f7be">
  <xsd:schema xmlns:xsd="http://www.w3.org/2001/XMLSchema" xmlns:xs="http://www.w3.org/2001/XMLSchema" xmlns:p="http://schemas.microsoft.com/office/2006/metadata/properties" xmlns:ns3="ab3bf863-a499-485c-b22b-18ab9ca9b64f" targetNamespace="http://schemas.microsoft.com/office/2006/metadata/properties" ma:root="true" ma:fieldsID="40ee55ab584425dd14d4d3bb1d86d37f" ns3:_="">
    <xsd:import namespace="ab3bf863-a499-485c-b22b-18ab9ca9b6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bf863-a499-485c-b22b-18ab9ca9b6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BEA838-E965-48D6-A429-B4850E435E9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7D2A8BA-4C0A-43C9-A1BF-BC00170DAA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3bf863-a499-485c-b22b-18ab9ca9b6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6FA426-B7F8-400F-8340-1FF880E2B0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PIESE</vt:lpstr>
      <vt:lpstr>LINK PIESE 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Adrian-Nicușor NECULA (140003)</dc:creator>
  <cp:keywords/>
  <dc:description/>
  <cp:lastModifiedBy>Adrian-Nicușor NECULA (140003)</cp:lastModifiedBy>
  <cp:revision/>
  <cp:lastPrinted>2025-01-11T11:33:16Z</cp:lastPrinted>
  <dcterms:created xsi:type="dcterms:W3CDTF">2024-11-16T22:41:59Z</dcterms:created>
  <dcterms:modified xsi:type="dcterms:W3CDTF">2025-01-14T19:09:50Z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0x0101001CD7CD89D570B24C97A1C407029819FB</vt:lpwstr>
  </property>
</Properties>
</file>